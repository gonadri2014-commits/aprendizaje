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dor" sheetId="1" state="visible" r:id="rId1"/>
    <sheet xmlns:r="http://schemas.openxmlformats.org/officeDocument/2006/relationships"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D&quot; 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left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1" fontId="2" fillId="3" borderId="1" pivotButton="0" quotePrefix="0" xfId="0"/>
    <xf numFmtId="9" fontId="2" fillId="3" borderId="1" pivotButton="0" quotePrefix="0" xfId="0"/>
    <xf numFmtId="2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16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Cotizador — Empresas 2.0</t>
        </is>
      </c>
    </row>
    <row r="2">
      <c r="A2" t="inlineStr">
        <is>
          <t>Celdas azules = datos del cliente. Precios en USD.</t>
        </is>
      </c>
    </row>
    <row r="4">
      <c r="A4" t="inlineStr">
        <is>
          <t>Cliente</t>
        </is>
      </c>
      <c r="B4" s="2" t="inlineStr">
        <is>
          <t>Empresa Ejemplo SRL</t>
        </is>
      </c>
    </row>
    <row r="5">
      <c r="A5" t="inlineStr">
        <is>
          <t>Sistema</t>
        </is>
      </c>
      <c r="B5" s="3" t="inlineStr">
        <is>
          <t>Tango Gestión</t>
        </is>
      </c>
    </row>
    <row r="6">
      <c r="A6" t="inlineStr">
        <is>
          <t>Bancos / cuentas</t>
        </is>
      </c>
      <c r="B6" s="3" t="n">
        <v>3</v>
      </c>
    </row>
    <row r="7">
      <c r="A7" t="inlineStr">
        <is>
          <t>Sociedades</t>
        </is>
      </c>
      <c r="B7" s="3" t="n">
        <v>1</v>
      </c>
    </row>
    <row r="8">
      <c r="A8" t="inlineStr">
        <is>
          <t>Movimientos bancarios por mes</t>
        </is>
      </c>
      <c r="B8" s="4" t="n">
        <v>800</v>
      </c>
    </row>
    <row r="9">
      <c r="A9" t="inlineStr">
        <is>
          <t>Tarifa hora (USD)</t>
        </is>
      </c>
      <c r="B9" s="5" t="n">
        <v>50</v>
      </c>
    </row>
    <row r="10">
      <c r="A10" t="inlineStr">
        <is>
          <t>Horas ahorradas al cliente por mes</t>
        </is>
      </c>
      <c r="B10" s="4" t="n">
        <v>60</v>
      </c>
    </row>
    <row r="11">
      <c r="A11" t="inlineStr">
        <is>
          <t>Costo hora del personal del cliente (USD)</t>
        </is>
      </c>
      <c r="B11" s="5" t="n">
        <v>12</v>
      </c>
    </row>
    <row r="12">
      <c r="A12" t="inlineStr">
        <is>
          <t>Meses de ahorro a cobrar (3 a 6)</t>
        </is>
      </c>
      <c r="B12" s="6" t="n">
        <v>4</v>
      </c>
    </row>
    <row r="13">
      <c r="A13" t="inlineStr">
        <is>
          <t>Abono mensual (% de implementación)</t>
        </is>
      </c>
      <c r="B13" s="7" t="n">
        <v>0.12</v>
      </c>
    </row>
    <row r="15">
      <c r="A15" t="inlineStr">
        <is>
          <t>Factor sistema</t>
        </is>
      </c>
      <c r="B15" s="8">
        <f>VLOOKUP(B5,Parametros!$A$2:$B$8,2,FALSE)</f>
        <v/>
      </c>
    </row>
    <row r="16">
      <c r="A16" t="inlineStr">
        <is>
          <t>Factor volumen</t>
        </is>
      </c>
      <c r="B16" s="8">
        <f>1+0.1*MAX(B6-1,0)+0.15*MAX(B7-1,0)+IF(B8&gt;2000,0.3,IF(B8&gt;500,0.15,0))</f>
        <v/>
      </c>
    </row>
    <row r="17">
      <c r="A17" t="inlineStr">
        <is>
          <t>Factor total</t>
        </is>
      </c>
      <c r="B17" s="8">
        <f>B15*B16</f>
        <v/>
      </c>
    </row>
    <row r="19">
      <c r="A19" s="9" t="inlineStr">
        <is>
          <t>Módulo</t>
        </is>
      </c>
      <c r="B19" s="9" t="inlineStr">
        <is>
          <t>Incluir</t>
        </is>
      </c>
      <c r="C19" s="9" t="inlineStr">
        <is>
          <t>Horas base</t>
        </is>
      </c>
      <c r="D19" s="9" t="inlineStr">
        <is>
          <t>Horas ajustadas</t>
        </is>
      </c>
      <c r="E19" s="9" t="inlineStr">
        <is>
          <t>Precio por horas</t>
        </is>
      </c>
    </row>
    <row r="20">
      <c r="A20" s="10" t="inlineStr">
        <is>
          <t>Conciliación bancaria automática</t>
        </is>
      </c>
      <c r="B20" s="3" t="inlineStr">
        <is>
          <t>SI</t>
        </is>
      </c>
      <c r="C20" s="11" t="n">
        <v>30</v>
      </c>
      <c r="D20" s="12">
        <f>IF(B20="SI",C20*$B$17,0)</f>
        <v/>
      </c>
      <c r="E20" s="13">
        <f>D20*$B$9</f>
        <v/>
      </c>
    </row>
    <row r="21">
      <c r="A21" s="10" t="inlineStr">
        <is>
          <t>Dashboard financiero</t>
        </is>
      </c>
      <c r="B21" s="3" t="inlineStr">
        <is>
          <t>SI</t>
        </is>
      </c>
      <c r="C21" s="11" t="n">
        <v>45</v>
      </c>
      <c r="D21" s="12">
        <f>IF(B21="SI",C21*$B$17,0)</f>
        <v/>
      </c>
      <c r="E21" s="13">
        <f>D21*$B$9</f>
        <v/>
      </c>
    </row>
    <row r="22">
      <c r="A22" s="10" t="inlineStr">
        <is>
          <t>P&amp;L / EERR automático</t>
        </is>
      </c>
      <c r="B22" s="3" t="inlineStr">
        <is>
          <t>SI</t>
        </is>
      </c>
      <c r="C22" s="11" t="n">
        <v>30</v>
      </c>
      <c r="D22" s="12">
        <f>IF(B22="SI",C22*$B$17,0)</f>
        <v/>
      </c>
      <c r="E22" s="13">
        <f>D22*$B$9</f>
        <v/>
      </c>
    </row>
    <row r="23">
      <c r="A23" s="10" t="inlineStr">
        <is>
          <t>Cashflow proyectado</t>
        </is>
      </c>
      <c r="B23" s="3" t="inlineStr">
        <is>
          <t>NO</t>
        </is>
      </c>
      <c r="C23" s="11" t="n">
        <v>30</v>
      </c>
      <c r="D23" s="12">
        <f>IF(B23="SI",C23*$B$17,0)</f>
        <v/>
      </c>
      <c r="E23" s="13">
        <f>D23*$B$9</f>
        <v/>
      </c>
    </row>
    <row r="24">
      <c r="A24" s="10" t="inlineStr">
        <is>
          <t>Budget automático</t>
        </is>
      </c>
      <c r="B24" s="3" t="inlineStr">
        <is>
          <t>NO</t>
        </is>
      </c>
      <c r="C24" s="11" t="n">
        <v>35</v>
      </c>
      <c r="D24" s="12">
        <f>IF(B24="SI",C24*$B$17,0)</f>
        <v/>
      </c>
      <c r="E24" s="13">
        <f>D24*$B$9</f>
        <v/>
      </c>
    </row>
    <row r="25">
      <c r="A25" s="10" t="inlineStr">
        <is>
          <t>Impuestos (IVA, IIBB, ret./perc.)</t>
        </is>
      </c>
      <c r="B25" s="3" t="inlineStr">
        <is>
          <t>NO</t>
        </is>
      </c>
      <c r="C25" s="11" t="n">
        <v>35</v>
      </c>
      <c r="D25" s="12">
        <f>IF(B25="SI",C25*$B$17,0)</f>
        <v/>
      </c>
      <c r="E25" s="13">
        <f>D25*$B$9</f>
        <v/>
      </c>
    </row>
    <row r="26">
      <c r="A26" s="10" t="inlineStr">
        <is>
          <t>Integración con sistema/ERP</t>
        </is>
      </c>
      <c r="B26" s="3" t="inlineStr">
        <is>
          <t>SI</t>
        </is>
      </c>
      <c r="C26" s="11" t="n">
        <v>25</v>
      </c>
      <c r="D26" s="12">
        <f>IF(B26="SI",C26*$B$17,0)</f>
        <v/>
      </c>
      <c r="E26" s="13">
        <f>D26*$B$9</f>
        <v/>
      </c>
    </row>
    <row r="28">
      <c r="A28" s="14" t="inlineStr">
        <is>
          <t>Total horas estimadas</t>
        </is>
      </c>
      <c r="B28" s="15">
        <f>SUM(D20:D26)</f>
        <v/>
      </c>
    </row>
    <row r="29">
      <c r="A29" s="14" t="inlineStr">
        <is>
          <t>Precio piso por horas</t>
        </is>
      </c>
      <c r="B29" s="16">
        <f>SUM(E20:E26)</f>
        <v/>
      </c>
    </row>
    <row r="30">
      <c r="A30" s="14" t="inlineStr">
        <is>
          <t>Precio por valor (ahorro × meses)</t>
        </is>
      </c>
      <c r="B30" s="16">
        <f>B10*B11*B12</f>
        <v/>
      </c>
    </row>
    <row r="31">
      <c r="A31" s="17" t="inlineStr">
        <is>
          <t>PRECIO IMPLEMENTACIÓN (mayor de ambos)</t>
        </is>
      </c>
      <c r="B31" s="18">
        <f>ROUND(MAX(B29,B30),-2)</f>
        <v/>
      </c>
    </row>
    <row r="32">
      <c r="A32" s="14" t="inlineStr">
        <is>
          <t>Adelanto 50 %</t>
        </is>
      </c>
      <c r="B32" s="16">
        <f>B31*0.5</f>
        <v/>
      </c>
    </row>
    <row r="33">
      <c r="A33" s="14" t="inlineStr">
        <is>
          <t>Saldo a la entrega 50 %</t>
        </is>
      </c>
      <c r="B33" s="16">
        <f>B31*0.5</f>
        <v/>
      </c>
    </row>
    <row r="34">
      <c r="A34" s="17" t="inlineStr">
        <is>
          <t>ABONO MENSUAL (mínimo USD 150)</t>
        </is>
      </c>
      <c r="B34" s="18">
        <f>MAX(150,ROUND(B31*B13,-1))</f>
        <v/>
      </c>
    </row>
    <row r="35">
      <c r="A35" s="14" t="inlineStr">
        <is>
          <t>Ahorro anual estimado para el cliente</t>
        </is>
      </c>
      <c r="B35" s="16">
        <f>B10*B11*12</f>
        <v/>
      </c>
    </row>
  </sheetData>
  <dataValidations count="2">
    <dataValidation sqref="B5" showDropDown="0" showInputMessage="0" showErrorMessage="0" allowBlank="0" type="list">
      <formula1>=Parametros!$A$2:$A$8</formula1>
    </dataValidation>
    <dataValidation sqref="B20 B21 B22 B23 B24 B25 B26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9" t="inlineStr">
        <is>
          <t>Sistema</t>
        </is>
      </c>
      <c r="B1" s="9" t="inlineStr">
        <is>
          <t>Factor complejidad</t>
        </is>
      </c>
    </row>
    <row r="2">
      <c r="A2" t="inlineStr">
        <is>
          <t>Excel / sin sistema</t>
        </is>
      </c>
      <c r="B2" s="19" t="n">
        <v>1</v>
      </c>
    </row>
    <row r="3">
      <c r="A3" t="inlineStr">
        <is>
          <t>Colppy / Xubio / Contabilium / Alegra</t>
        </is>
      </c>
      <c r="B3" s="19" t="n">
        <v>1</v>
      </c>
    </row>
    <row r="4">
      <c r="A4" t="inlineStr">
        <is>
          <t>Odoo</t>
        </is>
      </c>
      <c r="B4" s="19" t="n">
        <v>1.1</v>
      </c>
    </row>
    <row r="5">
      <c r="A5" t="inlineStr">
        <is>
          <t>Tango Gestión</t>
        </is>
      </c>
      <c r="B5" s="19" t="n">
        <v>1.25</v>
      </c>
    </row>
    <row r="6">
      <c r="A6" t="inlineStr">
        <is>
          <t>Bejerman / Flexxus / Holistor</t>
        </is>
      </c>
      <c r="B6" s="19" t="n">
        <v>1.3</v>
      </c>
    </row>
    <row r="7">
      <c r="A7" t="inlineStr">
        <is>
          <t>SAP Business One</t>
        </is>
      </c>
      <c r="B7" s="19" t="n">
        <v>1.5</v>
      </c>
    </row>
    <row r="8">
      <c r="A8" t="inlineStr">
        <is>
          <t>Sistema propio / a medida</t>
        </is>
      </c>
      <c r="B8" s="19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2026-10-24T22:01:49Z</dcterms:created>
  <dcterms:modified xmlns:dcterms="http://purl.org/dc/terms/" xmlns:xsi="http://www.w3.org/2001/XMLSchema-instance" xsi:type="dcterms:W3CDTF">2026-10-24T22:01:49Z</dcterms:modified>
</cp:coreProperties>
</file>